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nsys\Desktop\MCC\Not yavnaya\"/>
    </mc:Choice>
  </mc:AlternateContent>
  <xr:revisionPtr revIDLastSave="0" documentId="13_ncr:1_{997A2209-45B1-4B5F-A900-28EF650882B7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L17" i="1" l="1"/>
  <c r="K17" i="1"/>
  <c r="J17" i="1"/>
  <c r="I17" i="1"/>
  <c r="H17" i="1"/>
  <c r="G17" i="1"/>
  <c r="F17" i="1"/>
  <c r="C4" i="1"/>
  <c r="C16" i="1" s="1"/>
  <c r="I15" i="1" l="1"/>
  <c r="G15" i="1" s="1"/>
  <c r="C17" i="1"/>
  <c r="G12" i="1"/>
  <c r="H12" i="1" s="1"/>
  <c r="I12" i="1" s="1"/>
  <c r="J12" i="1" s="1"/>
  <c r="K12" i="1" s="1"/>
  <c r="L12" i="1" s="1"/>
  <c r="H15" i="1" l="1"/>
  <c r="F15" i="1"/>
  <c r="K15" i="1"/>
  <c r="J15" i="1" l="1"/>
  <c r="L15" i="1"/>
</calcChain>
</file>

<file path=xl/sharedStrings.xml><?xml version="1.0" encoding="utf-8"?>
<sst xmlns="http://schemas.openxmlformats.org/spreadsheetml/2006/main" count="16" uniqueCount="15">
  <si>
    <t>L</t>
  </si>
  <si>
    <t>dx</t>
  </si>
  <si>
    <t>dt</t>
  </si>
  <si>
    <t>t</t>
  </si>
  <si>
    <t>Cp</t>
  </si>
  <si>
    <t>ro</t>
  </si>
  <si>
    <t>lamda</t>
  </si>
  <si>
    <t>T_start</t>
  </si>
  <si>
    <t>T_end</t>
  </si>
  <si>
    <t>T</t>
  </si>
  <si>
    <t>A</t>
  </si>
  <si>
    <t>T_iter</t>
  </si>
  <si>
    <t>B</t>
  </si>
  <si>
    <t>C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</si>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</sst>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164" fontId="0" fillId="0" borderId="3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Sheet1!$F$12:$L$12</c:f>
              <c:numCache>
                <c:formatCode>0.000</c:formatCode>
                <c:ptCount val="7"/>
                <c:pt idx="0" formatCode="General">
                  <c:v>0</c:v>
                </c:pt>
                <c:pt idx="1">
                  <c:v>1.6666666666666666E-2</c:v>
                </c:pt>
                <c:pt idx="2">
                  <c:v>3.3333333333333333E-2</c:v>
                </c:pt>
                <c:pt idx="3">
                  <c:v>0.05</c:v>
                </c:pt>
                <c:pt idx="4">
                  <c:v>6.6666666666666666E-2</c:v>
                </c:pt>
                <c:pt idx="5">
                  <c:v>8.3333333333333329E-2</c:v>
                </c:pt>
                <c:pt idx="6">
                  <c:v>9.9999999999999992E-2</c:v>
                </c:pt>
              </c:numCache>
            </c:numRef>
          </c:xVal>
          <c:yVal>
            <c:numRef>
              <c:f>Sheet1!$F$13:$L$13</c:f>
              <c:numCache>
                <c:formatCode>General</c:formatCode>
                <c:ptCount val="7"/>
                <c:pt idx="0">
                  <c:v>300</c:v>
                </c:pt>
                <c:pt idx="1">
                  <c:v>250.66511502962695</c:v>
                </c:pt>
                <c:pt idx="2">
                  <c:v>216.95494322385181</c:v>
                </c:pt>
                <c:pt idx="3">
                  <c:v>184.71104032953761</c:v>
                </c:pt>
                <c:pt idx="4">
                  <c:v>154.1531678405473</c:v>
                </c:pt>
                <c:pt idx="5">
                  <c:v>125.06141063076296</c:v>
                </c:pt>
                <c:pt idx="6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25-4970-B3CD-925F22A5A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5745264"/>
        <c:axId val="1145746928"/>
      </c:scatterChart>
      <c:valAx>
        <c:axId val="114574526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5746928"/>
        <c:crosses val="autoZero"/>
        <c:crossBetween val="midCat"/>
      </c:valAx>
      <c:valAx>
        <c:axId val="114574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5745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206828</xdr:colOff>
      <xdr:row>17</xdr:row>
      <xdr:rowOff>141513</xdr:rowOff>
    </xdr:from>
    <xdr:to>
      <xdr:col>13</xdr:col>
      <xdr:colOff>326571</xdr:colOff>
      <xdr:row>39</xdr:row>
      <xdr:rowOff>43541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4CB71D5-BF86-4478-9410-863722F21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0.0169</cdr:y>
    </cdr:from>
    <cdr:to>
      <cdr:x>0.07759</cdr:x>
      <cdr:y>0.115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3361B013-C2C9-4142-97F4-8BE094A2AB2F}"/>
            </a:ext>
          </a:extLst>
        </cdr:cNvPr>
        <cdr:cNvSpPr txBox="1"/>
      </cdr:nvSpPr>
      <cdr:spPr>
        <a:xfrm xmlns:a="http://schemas.openxmlformats.org/drawingml/2006/main">
          <a:off x="0" y="67157"/>
          <a:ext cx="545601" cy="389772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b="1" i="1">
              <a:latin typeface="+mn-lt"/>
            </a:rPr>
            <a:t>T,[C</a:t>
          </a:r>
          <a:r>
            <a:rPr lang="en-US" sz="1600" b="1" i="1">
              <a:latin typeface="+mn-lt"/>
            </a:rPr>
            <a:t>]</a:t>
          </a:r>
          <a:endParaRPr lang="ru-RU" sz="1600" b="1" i="1">
            <a:latin typeface="+mn-lt"/>
          </a:endParaRPr>
        </a:p>
      </cdr:txBody>
    </cdr:sp>
  </cdr:relSizeAnchor>
  <cdr:relSizeAnchor xmlns:cdr="http://schemas.openxmlformats.org/drawingml/2006/chartDrawing">
    <cdr:from>
      <cdr:x>0.91738</cdr:x>
      <cdr:y>0.91373</cdr:y>
    </cdr:from>
    <cdr:to>
      <cdr:x>1</cdr:x>
      <cdr:y>1</cdr:y>
    </cdr:to>
    <cdr:sp macro="" textlink="">
      <cdr:nvSpPr>
        <cdr:cNvPr id="3" name="TextBox 4">
          <a:extLst xmlns:a="http://schemas.openxmlformats.org/drawingml/2006/main">
            <a:ext uri="{FF2B5EF4-FFF2-40B4-BE49-F238E27FC236}">
              <a16:creationId xmlns:a16="http://schemas.microsoft.com/office/drawing/2014/main" id="{EF279B04-14C3-4072-ABA4-27A53A44D3E2}"/>
            </a:ext>
          </a:extLst>
        </cdr:cNvPr>
        <cdr:cNvSpPr txBox="1"/>
      </cdr:nvSpPr>
      <cdr:spPr>
        <a:xfrm xmlns:a="http://schemas.openxmlformats.org/drawingml/2006/main">
          <a:off x="6451146" y="3630499"/>
          <a:ext cx="581025" cy="342786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b="1" i="1">
              <a:latin typeface="+mn-lt"/>
            </a:rPr>
            <a:t>L,[m</a:t>
          </a:r>
          <a:r>
            <a:rPr lang="en-US" sz="1600" b="1" i="1">
              <a:latin typeface="+mn-lt"/>
            </a:rPr>
            <a:t>]</a:t>
          </a:r>
          <a:endParaRPr lang="ru-RU" sz="1600" b="1" i="1">
            <a:latin typeface="+mn-lt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sys/Desktop/MCC/&#1051;&#1080;&#1089;&#1090;%20Microsoft%20Excel%20yavnay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 явная схема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L17"/>
  <sheetViews>
    <sheetView tabSelected="1" zoomScale="70" zoomScaleNormal="70" workbookViewId="0">
      <selection activeCell="O14" sqref="O14:P14"/>
    </sheetView>
  </sheetViews>
  <sheetFormatPr defaultRowHeight="14.4" x14ac:dyDescent="0.3"/>
  <cols>
    <col min="3" max="3" width="13.44140625" customWidth="1"/>
    <col min="6" max="6" width="20.77734375" customWidth="1"/>
  </cols>
  <sheetData>
    <row r="2" spans="2:12" ht="15" thickBot="1" x14ac:dyDescent="0.35"/>
    <row r="3" spans="2:12" ht="15.6" thickTop="1" thickBot="1" x14ac:dyDescent="0.35">
      <c r="B3" s="1" t="s">
        <v>0</v>
      </c>
      <c r="C3" s="1">
        <v>0.1</v>
      </c>
    </row>
    <row r="4" spans="2:12" ht="15.6" thickTop="1" thickBot="1" x14ac:dyDescent="0.35">
      <c r="B4" s="1" t="s">
        <v>1</v>
      </c>
      <c r="C4" s="2">
        <f>0.1/6</f>
        <v>1.6666666666666666E-2</v>
      </c>
    </row>
    <row r="5" spans="2:12" ht="15.6" thickTop="1" thickBot="1" x14ac:dyDescent="0.35">
      <c r="B5" s="3" t="s">
        <v>2</v>
      </c>
      <c r="C5" s="3">
        <v>1</v>
      </c>
    </row>
    <row r="6" spans="2:12" ht="15.6" thickTop="1" thickBot="1" x14ac:dyDescent="0.35">
      <c r="B6" s="1" t="s">
        <v>3</v>
      </c>
      <c r="C6" s="1">
        <v>300</v>
      </c>
      <c r="D6">
        <v>301</v>
      </c>
    </row>
    <row r="7" spans="2:12" ht="15.6" thickTop="1" thickBot="1" x14ac:dyDescent="0.35"/>
    <row r="8" spans="2:12" ht="15.6" thickTop="1" thickBot="1" x14ac:dyDescent="0.35">
      <c r="B8" s="1" t="s">
        <v>4</v>
      </c>
      <c r="C8" s="1">
        <v>460</v>
      </c>
    </row>
    <row r="9" spans="2:12" ht="15.6" thickTop="1" thickBot="1" x14ac:dyDescent="0.35">
      <c r="B9" s="1" t="s">
        <v>5</v>
      </c>
      <c r="C9" s="1">
        <v>7800</v>
      </c>
    </row>
    <row r="10" spans="2:12" ht="15.6" thickTop="1" thickBot="1" x14ac:dyDescent="0.35">
      <c r="B10" s="1" t="s">
        <v>6</v>
      </c>
      <c r="C10" s="1">
        <v>46</v>
      </c>
    </row>
    <row r="11" spans="2:12" ht="15.6" thickTop="1" thickBot="1" x14ac:dyDescent="0.35">
      <c r="E11" s="4"/>
      <c r="F11" s="5">
        <v>1</v>
      </c>
      <c r="G11" s="5">
        <v>2</v>
      </c>
      <c r="H11" s="5">
        <v>3</v>
      </c>
      <c r="I11" s="5">
        <v>4</v>
      </c>
      <c r="J11" s="5">
        <v>5</v>
      </c>
      <c r="K11" s="5">
        <v>6</v>
      </c>
      <c r="L11" s="5">
        <v>7</v>
      </c>
    </row>
    <row r="12" spans="2:12" ht="15.6" thickTop="1" thickBot="1" x14ac:dyDescent="0.35">
      <c r="B12" s="1" t="s">
        <v>7</v>
      </c>
      <c r="C12" s="1">
        <v>300</v>
      </c>
      <c r="E12" s="4" t="s">
        <v>0</v>
      </c>
      <c r="F12" s="6">
        <v>0</v>
      </c>
      <c r="G12" s="7">
        <f>F12+$C$4</f>
        <v>1.6666666666666666E-2</v>
      </c>
      <c r="H12" s="7">
        <f t="shared" ref="H12:L12" si="0">G12+$C$4</f>
        <v>3.3333333333333333E-2</v>
      </c>
      <c r="I12" s="7">
        <f t="shared" si="0"/>
        <v>0.05</v>
      </c>
      <c r="J12" s="7">
        <f t="shared" si="0"/>
        <v>6.6666666666666666E-2</v>
      </c>
      <c r="K12" s="7">
        <f t="shared" si="0"/>
        <v>8.3333333333333329E-2</v>
      </c>
      <c r="L12" s="7">
        <f t="shared" si="0"/>
        <v>9.9999999999999992E-2</v>
      </c>
    </row>
    <row r="13" spans="2:12" ht="15.6" thickTop="1" thickBot="1" x14ac:dyDescent="0.35">
      <c r="B13" s="1" t="s">
        <v>8</v>
      </c>
      <c r="C13" s="1">
        <v>100</v>
      </c>
      <c r="E13" s="4" t="s">
        <v>9</v>
      </c>
      <c r="F13" s="6">
        <v>300</v>
      </c>
      <c r="G13">
        <v>250.66511502962695</v>
      </c>
      <c r="H13">
        <v>216.95494322385181</v>
      </c>
      <c r="I13">
        <v>184.71104032953761</v>
      </c>
      <c r="J13">
        <v>154.1531678405473</v>
      </c>
      <c r="K13">
        <v>125.06141063076296</v>
      </c>
      <c r="L13" s="6">
        <v>100</v>
      </c>
    </row>
    <row r="14" spans="2:12" ht="15" thickTop="1" x14ac:dyDescent="0.3"/>
    <row r="15" spans="2:12" x14ac:dyDescent="0.3">
      <c r="B15" t="s">
        <v>10</v>
      </c>
      <c r="C15">
        <f>C10/C4^2</f>
        <v>165600</v>
      </c>
      <c r="E15" t="s">
        <v>11</v>
      </c>
      <c r="F15">
        <f>(F17-C15*G15)/C16</f>
        <v>285.24103611703384</v>
      </c>
      <c r="G15">
        <f>(G17*C16-C17*F17-C15*H17+C15^2*I15)/(C16^2-2*C15*C17)</f>
        <v>250.70452143646833</v>
      </c>
      <c r="H15">
        <f>(H17-C15*I15-C17*G15)/C16</f>
        <v>217.02181223746672</v>
      </c>
      <c r="I15">
        <f>((C16*I17-C17*H17-C15*J17)*(C16^2-2*C15*C17)+C17^2*(G17*C16-C17*F17-C15*H17)+C15^2*(C16*K17-C17*J17-C15*L17))/((C16^2-2*C15*C17)^2-2*C15^2*C17^2)</f>
        <v>184.78793166678841</v>
      </c>
      <c r="J15">
        <f>(J17-C17*I15-C15*K15)/C16</f>
        <v>154.22003006987845</v>
      </c>
      <c r="K15">
        <f>(C16*K17-C17*J17-C15*L17+C17^2*I15)/(C16^2-2*C15*C17)</f>
        <v>125.10081010847679</v>
      </c>
      <c r="L15">
        <f>(L17-C17*K15)/C16</f>
        <v>96.835245497541266</v>
      </c>
    </row>
    <row r="16" spans="2:12" x14ac:dyDescent="0.3">
      <c r="B16" t="s">
        <v>12</v>
      </c>
      <c r="C16">
        <f>-2*C10/C4^2-C9*C8/C5</f>
        <v>-3919200</v>
      </c>
    </row>
    <row r="17" spans="2:12" x14ac:dyDescent="0.3">
      <c r="B17" t="s">
        <v>13</v>
      </c>
      <c r="C17">
        <f>C15</f>
        <v>165600</v>
      </c>
      <c r="E17" t="s">
        <v>14</v>
      </c>
      <c r="F17">
        <f>-$C$9*$C$8/$C$5*F13</f>
        <v>-1076400000</v>
      </c>
      <c r="G17">
        <f t="shared" ref="G17:L17" si="1">-$C$9*$C$8/$C$5*G13</f>
        <v>-899386432.72630143</v>
      </c>
      <c r="H17">
        <f t="shared" si="1"/>
        <v>-778434336.2871803</v>
      </c>
      <c r="I17">
        <f t="shared" si="1"/>
        <v>-662743212.7023809</v>
      </c>
      <c r="J17">
        <f t="shared" si="1"/>
        <v>-553101566.21188366</v>
      </c>
      <c r="K17">
        <f t="shared" si="1"/>
        <v>-448720341.3431775</v>
      </c>
      <c r="L17">
        <f t="shared" si="1"/>
        <v>-358800000</v>
      </c>
    </row>
  </sheetData>
  <conditionalFormatting sqref="F13:L13">
    <cfRule type="colorScale" priority="2">
      <colorScale>
        <cfvo type="min"/>
        <cfvo type="percentile" val="50"/>
        <cfvo type="max"/>
        <color theme="4" tint="-0.249977111117893"/>
        <color rgb="FFFFEB84"/>
        <color rgb="FFFF0000"/>
      </colorScale>
    </cfRule>
    <cfRule type="colorScale" priority="1">
      <colorScale>
        <cfvo type="min"/>
        <cfvo type="percentile" val="50"/>
        <cfvo type="max"/>
        <color theme="4" tint="0.39997558519241921"/>
        <color rgb="FFFFEB84"/>
        <color rgb="FFC0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ansys</dc:creator>
  <cp:lastModifiedBy>ansys</cp:lastModifiedBy>
  <dcterms:created xsi:type="dcterms:W3CDTF">2015-06-05T18:17:20Z</dcterms:created>
  <dcterms:modified xsi:type="dcterms:W3CDTF">2021-03-25T00:23:13Z</dcterms:modified>
</cp:coreProperties>
</file>