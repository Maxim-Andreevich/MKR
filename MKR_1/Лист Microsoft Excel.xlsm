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nsys\Desktop\MCC\"/>
    </mc:Choice>
  </mc:AlternateContent>
  <xr:revisionPtr revIDLastSave="0" documentId="13_ncr:1_{AE070FBC-D025-4A93-963D-075ACD93E175}" xr6:coauthVersionLast="46" xr6:coauthVersionMax="46" xr10:uidLastSave="{00000000-0000-0000-0000-000000000000}"/>
  <bookViews>
    <workbookView xWindow="22932" yWindow="-108" windowWidth="23256" windowHeight="12576" activeTab="2" xr2:uid="{00000000-000D-0000-FFFF-FFFF00000000}"/>
  </bookViews>
  <sheets>
    <sheet name="BC1st" sheetId="5" r:id="rId1"/>
    <sheet name="BC2nd" sheetId="6" r:id="rId2"/>
    <sheet name="BC3rd" sheetId="9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9" l="1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F13" i="9"/>
  <c r="C4" i="9" l="1"/>
  <c r="C5" i="9" l="1"/>
  <c r="G12" i="9"/>
  <c r="H12" i="9" s="1"/>
  <c r="I12" i="9" s="1"/>
  <c r="J12" i="9" s="1"/>
  <c r="K12" i="9" s="1"/>
  <c r="L12" i="9" s="1"/>
  <c r="M12" i="9" s="1"/>
  <c r="N12" i="9" s="1"/>
  <c r="O12" i="9" s="1"/>
  <c r="P12" i="9" s="1"/>
  <c r="Q12" i="9" s="1"/>
  <c r="R12" i="9" s="1"/>
  <c r="S12" i="9" s="1"/>
  <c r="T12" i="9" s="1"/>
  <c r="U12" i="9" s="1"/>
  <c r="V12" i="9" s="1"/>
  <c r="W12" i="9" s="1"/>
  <c r="X12" i="9" s="1"/>
  <c r="Y12" i="9" s="1"/>
  <c r="Z12" i="9" s="1"/>
  <c r="AA12" i="9" s="1"/>
  <c r="AB12" i="9" s="1"/>
  <c r="AC12" i="9" s="1"/>
  <c r="AD12" i="9" s="1"/>
  <c r="AE12" i="9" s="1"/>
  <c r="AF12" i="9" s="1"/>
  <c r="AG12" i="9" s="1"/>
  <c r="AH12" i="9" s="1"/>
  <c r="AI12" i="9" s="1"/>
  <c r="AJ12" i="9" s="1"/>
  <c r="AC15" i="9" l="1"/>
  <c r="U15" i="9"/>
  <c r="M15" i="9"/>
  <c r="AB15" i="9"/>
  <c r="T15" i="9"/>
  <c r="L15" i="9"/>
  <c r="AI15" i="9"/>
  <c r="AA15" i="9"/>
  <c r="S15" i="9"/>
  <c r="K15" i="9"/>
  <c r="AH15" i="9"/>
  <c r="Z15" i="9"/>
  <c r="R15" i="9"/>
  <c r="J15" i="9"/>
  <c r="AG15" i="9"/>
  <c r="Y15" i="9"/>
  <c r="Q15" i="9"/>
  <c r="I15" i="9"/>
  <c r="AF15" i="9"/>
  <c r="X15" i="9"/>
  <c r="P15" i="9"/>
  <c r="H15" i="9"/>
  <c r="AE15" i="9"/>
  <c r="W15" i="9"/>
  <c r="O15" i="9"/>
  <c r="G15" i="9"/>
  <c r="AD15" i="9"/>
  <c r="V15" i="9"/>
  <c r="N15" i="9"/>
  <c r="H15" i="6" l="1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F13" i="6"/>
  <c r="G16" i="6" s="1"/>
  <c r="C4" i="6"/>
  <c r="G12" i="6" s="1"/>
  <c r="H12" i="6" s="1"/>
  <c r="I12" i="6" s="1"/>
  <c r="J12" i="6" s="1"/>
  <c r="K12" i="6" s="1"/>
  <c r="L12" i="6" s="1"/>
  <c r="M12" i="6" s="1"/>
  <c r="N12" i="6" s="1"/>
  <c r="O12" i="6" s="1"/>
  <c r="P12" i="6" s="1"/>
  <c r="Q12" i="6" s="1"/>
  <c r="R12" i="6" s="1"/>
  <c r="S12" i="6" s="1"/>
  <c r="T12" i="6" s="1"/>
  <c r="U12" i="6" s="1"/>
  <c r="V12" i="6" s="1"/>
  <c r="W12" i="6" s="1"/>
  <c r="X12" i="6" s="1"/>
  <c r="Y12" i="6" s="1"/>
  <c r="Z12" i="6" s="1"/>
  <c r="AA12" i="6" s="1"/>
  <c r="AB12" i="6" s="1"/>
  <c r="AC12" i="6" s="1"/>
  <c r="AD12" i="6" s="1"/>
  <c r="AE12" i="6" s="1"/>
  <c r="AF12" i="6" s="1"/>
  <c r="AG12" i="6" s="1"/>
  <c r="AH12" i="6" s="1"/>
  <c r="AI12" i="6" s="1"/>
  <c r="AJ12" i="6" s="1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G15" i="5"/>
  <c r="C5" i="5"/>
  <c r="H12" i="5"/>
  <c r="I12" i="5" s="1"/>
  <c r="J12" i="5" s="1"/>
  <c r="K12" i="5" s="1"/>
  <c r="L12" i="5" s="1"/>
  <c r="M12" i="5" s="1"/>
  <c r="N12" i="5" s="1"/>
  <c r="O12" i="5" s="1"/>
  <c r="P12" i="5" s="1"/>
  <c r="Q12" i="5" s="1"/>
  <c r="R12" i="5" s="1"/>
  <c r="S12" i="5" s="1"/>
  <c r="T12" i="5" s="1"/>
  <c r="U12" i="5" s="1"/>
  <c r="V12" i="5" s="1"/>
  <c r="W12" i="5" s="1"/>
  <c r="X12" i="5" s="1"/>
  <c r="Y12" i="5" s="1"/>
  <c r="Z12" i="5" s="1"/>
  <c r="AA12" i="5" s="1"/>
  <c r="AB12" i="5" s="1"/>
  <c r="AC12" i="5" s="1"/>
  <c r="AD12" i="5" s="1"/>
  <c r="AE12" i="5" s="1"/>
  <c r="AF12" i="5" s="1"/>
  <c r="AG12" i="5" s="1"/>
  <c r="AH12" i="5" s="1"/>
  <c r="AI12" i="5" s="1"/>
  <c r="AJ12" i="5" s="1"/>
  <c r="G12" i="5"/>
  <c r="C4" i="5"/>
  <c r="C5" i="6" l="1"/>
  <c r="G15" i="6" l="1"/>
</calcChain>
</file>

<file path=xl/sharedStrings.xml><?xml version="1.0" encoding="utf-8"?>
<sst xmlns="http://schemas.openxmlformats.org/spreadsheetml/2006/main" count="42" uniqueCount="18">
  <si>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</si>
  <si>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</si>
  <si>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</si>
  <si>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</si>
  <si>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</si>
  <si>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</si>
  <si>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</si>
  <si>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</si>
  <si>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</si>
  <si>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</si>
  <si>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</si>
  <si>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q_start</t>
  </si>
  <si>
    <t xml:space="preserve"> </t>
  </si>
  <si>
    <t>q</t>
  </si>
  <si>
    <t>k</t>
  </si>
  <si>
    <t>T_f</t>
  </si>
  <si>
    <t>T_w</t>
  </si>
  <si>
    <t>T_f-T_w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</si>
</sst>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164" fontId="0" fillId="0" borderId="2" xfId="0" applyNumberFormat="1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2" xfId="0" applyFill="1" applyBorder="1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BC1st!$F$12:$AJ$12</c:f>
              <c:numCache>
                <c:formatCode>0.0000</c:formatCode>
                <c:ptCount val="31"/>
                <c:pt idx="0" formatCode="0.00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BC1st!$F$13:$AJ$13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292.74404332348979</c:v>
                </c:pt>
                <c:pt idx="2">
                  <c:v>285.48808664697964</c:v>
                </c:pt>
                <c:pt idx="3">
                  <c:v>278.25788514908174</c:v>
                </c:pt>
                <c:pt idx="4">
                  <c:v>271.02768365118385</c:v>
                </c:pt>
                <c:pt idx="5">
                  <c:v>263.84786682035269</c:v>
                </c:pt>
                <c:pt idx="6">
                  <c:v>256.66804998952159</c:v>
                </c:pt>
                <c:pt idx="7">
                  <c:v>249.56104514324264</c:v>
                </c:pt>
                <c:pt idx="8">
                  <c:v>242.45404029696368</c:v>
                </c:pt>
                <c:pt idx="9">
                  <c:v>235.43909236699923</c:v>
                </c:pt>
                <c:pt idx="10">
                  <c:v>228.42414443703478</c:v>
                </c:pt>
                <c:pt idx="11">
                  <c:v>221.51647486658405</c:v>
                </c:pt>
                <c:pt idx="12">
                  <c:v>214.60880529613331</c:v>
                </c:pt>
                <c:pt idx="13">
                  <c:v>207.81894681034277</c:v>
                </c:pt>
                <c:pt idx="14">
                  <c:v>201.02908832455222</c:v>
                </c:pt>
                <c:pt idx="15">
                  <c:v>194.36242464453176</c:v>
                </c:pt>
                <c:pt idx="16">
                  <c:v>187.69576096451127</c:v>
                </c:pt>
                <c:pt idx="17">
                  <c:v>181.1522915738426</c:v>
                </c:pt>
                <c:pt idx="18">
                  <c:v>174.60882218317391</c:v>
                </c:pt>
                <c:pt idx="19">
                  <c:v>168.18316241720407</c:v>
                </c:pt>
                <c:pt idx="20">
                  <c:v>161.75750265123423</c:v>
                </c:pt>
                <c:pt idx="21">
                  <c:v>155.43911909371423</c:v>
                </c:pt>
                <c:pt idx="22">
                  <c:v>149.12073553619419</c:v>
                </c:pt>
                <c:pt idx="23">
                  <c:v>142.89440642476072</c:v>
                </c:pt>
                <c:pt idx="24">
                  <c:v>136.66807731332725</c:v>
                </c:pt>
                <c:pt idx="25">
                  <c:v>130.51455782417884</c:v>
                </c:pt>
                <c:pt idx="26">
                  <c:v>124.36103833503046</c:v>
                </c:pt>
                <c:pt idx="27">
                  <c:v>118.25790166709999</c:v>
                </c:pt>
                <c:pt idx="28">
                  <c:v>112.1547649991695</c:v>
                </c:pt>
                <c:pt idx="29">
                  <c:v>106.07738249958476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8A-4C37-B4E8-F93D90F84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3701615"/>
        <c:axId val="1243702863"/>
      </c:scatterChart>
      <c:valAx>
        <c:axId val="1243701615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3702863"/>
        <c:crosses val="autoZero"/>
        <c:crossBetween val="midCat"/>
      </c:valAx>
      <c:valAx>
        <c:axId val="124370286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3701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BC2nd!$F$12:$AJ$12</c:f>
              <c:numCache>
                <c:formatCode>0.0000</c:formatCode>
                <c:ptCount val="31"/>
                <c:pt idx="0" formatCode="0.00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BC2nd!$F$13:$AJ$13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12-44EB-9106-035B1B1D1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3701615"/>
        <c:axId val="1243702863"/>
      </c:scatterChart>
      <c:valAx>
        <c:axId val="1243701615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3702863"/>
        <c:crosses val="autoZero"/>
        <c:crossBetween val="midCat"/>
      </c:valAx>
      <c:valAx>
        <c:axId val="124370286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3701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BC3rd!$F$12:$AJ$12</c:f>
              <c:numCache>
                <c:formatCode>0.0000</c:formatCode>
                <c:ptCount val="31"/>
                <c:pt idx="0" formatCode="0.00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BC3rd!$F$13:$AJ$13</c:f>
              <c:numCache>
                <c:formatCode>General</c:formatCode>
                <c:ptCount val="31"/>
                <c:pt idx="0">
                  <c:v>29.661999197871289</c:v>
                </c:pt>
                <c:pt idx="1">
                  <c:v>29.296781806566941</c:v>
                </c:pt>
                <c:pt idx="2">
                  <c:v>28.935233895675822</c:v>
                </c:pt>
                <c:pt idx="3">
                  <c:v>28.57734500133509</c:v>
                </c:pt>
                <c:pt idx="4">
                  <c:v>28.223094474061632</c:v>
                </c:pt>
                <c:pt idx="5">
                  <c:v>27.872451042938547</c:v>
                </c:pt>
                <c:pt idx="6">
                  <c:v>27.525373638766656</c:v>
                </c:pt>
                <c:pt idx="7">
                  <c:v>27.181810544127231</c:v>
                </c:pt>
                <c:pt idx="8">
                  <c:v>26.841700727225529</c:v>
                </c:pt>
                <c:pt idx="9">
                  <c:v>26.504972620206598</c:v>
                </c:pt>
                <c:pt idx="10">
                  <c:v>26.171545908345795</c:v>
                </c:pt>
                <c:pt idx="11">
                  <c:v>25.84132999772142</c:v>
                </c:pt>
                <c:pt idx="12">
                  <c:v>25.514226185724361</c:v>
                </c:pt>
                <c:pt idx="13">
                  <c:v>25.190125895089981</c:v>
                </c:pt>
                <c:pt idx="14">
                  <c:v>24.868913136284426</c:v>
                </c:pt>
                <c:pt idx="15">
                  <c:v>24.550462597229068</c:v>
                </c:pt>
                <c:pt idx="16">
                  <c:v>24.23464229665047</c:v>
                </c:pt>
                <c:pt idx="17">
                  <c:v>23.921311627016443</c:v>
                </c:pt>
                <c:pt idx="18">
                  <c:v>23.610324090909334</c:v>
                </c:pt>
                <c:pt idx="19">
                  <c:v>23.301525398344417</c:v>
                </c:pt>
                <c:pt idx="20">
                  <c:v>22.994756175941333</c:v>
                </c:pt>
                <c:pt idx="21">
                  <c:v>22.689850218730903</c:v>
                </c:pt>
                <c:pt idx="22">
                  <c:v>22.386637064443796</c:v>
                </c:pt>
                <c:pt idx="23">
                  <c:v>22.084940494163121</c:v>
                </c:pt>
                <c:pt idx="24">
                  <c:v>21.784580871292931</c:v>
                </c:pt>
                <c:pt idx="25">
                  <c:v>21.485373975227027</c:v>
                </c:pt>
                <c:pt idx="26">
                  <c:v>21.187133016162292</c:v>
                </c:pt>
                <c:pt idx="27">
                  <c:v>20.889667871777267</c:v>
                </c:pt>
                <c:pt idx="28">
                  <c:v>20.592786704481462</c:v>
                </c:pt>
                <c:pt idx="29">
                  <c:v>20.296295653561259</c:v>
                </c:pt>
                <c:pt idx="30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33-4F71-8CCF-BA59679F9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3701615"/>
        <c:axId val="1243702863"/>
      </c:scatterChart>
      <c:valAx>
        <c:axId val="1243701615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3702863"/>
        <c:crosses val="autoZero"/>
        <c:crossBetween val="midCat"/>
      </c:valAx>
      <c:valAx>
        <c:axId val="124370286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3701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16</xdr:row>
      <xdr:rowOff>66675</xdr:rowOff>
    </xdr:from>
    <xdr:to>
      <xdr:col>14</xdr:col>
      <xdr:colOff>285750</xdr:colOff>
      <xdr:row>38</xdr:row>
      <xdr:rowOff>76199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DE45D37-BA95-40D4-8E6B-81D867E590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523874</xdr:colOff>
      <xdr:row>16</xdr:row>
      <xdr:rowOff>133351</xdr:rowOff>
    </xdr:from>
    <xdr:ext cx="514351" cy="3427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361B013-C2C9-4142-97F4-8BE094A2AB2F}"/>
            </a:ext>
          </a:extLst>
        </xdr:cNvPr>
        <xdr:cNvSpPr txBox="1"/>
      </xdr:nvSpPr>
      <xdr:spPr>
        <a:xfrm>
          <a:off x="2352674" y="3257551"/>
          <a:ext cx="514351" cy="342786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 i="1">
              <a:latin typeface="+mn-lt"/>
            </a:rPr>
            <a:t>T,[C</a:t>
          </a:r>
          <a:r>
            <a:rPr lang="en-US" sz="1600" b="1" i="1">
              <a:latin typeface="+mn-lt"/>
            </a:rPr>
            <a:t>]</a:t>
          </a:r>
          <a:endParaRPr lang="ru-RU" sz="1600" b="1" i="1">
            <a:latin typeface="+mn-lt"/>
          </a:endParaRPr>
        </a:p>
      </xdr:txBody>
    </xdr:sp>
    <xdr:clientData/>
  </xdr:oneCellAnchor>
  <xdr:oneCellAnchor>
    <xdr:from>
      <xdr:col>13</xdr:col>
      <xdr:colOff>76200</xdr:colOff>
      <xdr:row>36</xdr:row>
      <xdr:rowOff>114300</xdr:rowOff>
    </xdr:from>
    <xdr:ext cx="581025" cy="34278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F279B04-14C3-4072-ABA4-27A53A44D3E2}"/>
            </a:ext>
          </a:extLst>
        </xdr:cNvPr>
        <xdr:cNvSpPr txBox="1"/>
      </xdr:nvSpPr>
      <xdr:spPr>
        <a:xfrm>
          <a:off x="6934200" y="6858000"/>
          <a:ext cx="581025" cy="342786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 i="1">
              <a:latin typeface="+mn-lt"/>
            </a:rPr>
            <a:t>L,[m</a:t>
          </a:r>
          <a:r>
            <a:rPr lang="en-US" sz="1600" b="1" i="1">
              <a:latin typeface="+mn-lt"/>
            </a:rPr>
            <a:t>]</a:t>
          </a:r>
          <a:endParaRPr lang="ru-RU" sz="1600" b="1" i="1">
            <a:latin typeface="+mn-lt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19</xdr:row>
      <xdr:rowOff>123825</xdr:rowOff>
    </xdr:from>
    <xdr:to>
      <xdr:col>14</xdr:col>
      <xdr:colOff>228600</xdr:colOff>
      <xdr:row>41</xdr:row>
      <xdr:rowOff>133349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42BC4E6-08E7-4B7F-8B58-52F90A8504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457199</xdr:colOff>
      <xdr:row>20</xdr:row>
      <xdr:rowOff>38101</xdr:rowOff>
    </xdr:from>
    <xdr:ext cx="514351" cy="34278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628C3B9-3880-426C-A5BB-B12529321BDA}"/>
            </a:ext>
          </a:extLst>
        </xdr:cNvPr>
        <xdr:cNvSpPr txBox="1"/>
      </xdr:nvSpPr>
      <xdr:spPr>
        <a:xfrm>
          <a:off x="2285999" y="3886201"/>
          <a:ext cx="514351" cy="342786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 i="1">
              <a:latin typeface="+mn-lt"/>
            </a:rPr>
            <a:t>T,[C</a:t>
          </a:r>
          <a:r>
            <a:rPr lang="en-US" sz="1600" b="1" i="1">
              <a:latin typeface="+mn-lt"/>
            </a:rPr>
            <a:t>]</a:t>
          </a:r>
          <a:endParaRPr lang="ru-RU" sz="1600" b="1" i="1">
            <a:latin typeface="+mn-lt"/>
          </a:endParaRPr>
        </a:p>
      </xdr:txBody>
    </xdr:sp>
    <xdr:clientData/>
  </xdr:oneCellAnchor>
  <xdr:oneCellAnchor>
    <xdr:from>
      <xdr:col>13</xdr:col>
      <xdr:colOff>47625</xdr:colOff>
      <xdr:row>39</xdr:row>
      <xdr:rowOff>152400</xdr:rowOff>
    </xdr:from>
    <xdr:ext cx="581025" cy="3427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010120A-14D6-4679-9452-D79FCC7DDF86}"/>
            </a:ext>
          </a:extLst>
        </xdr:cNvPr>
        <xdr:cNvSpPr txBox="1"/>
      </xdr:nvSpPr>
      <xdr:spPr>
        <a:xfrm>
          <a:off x="6905625" y="7439025"/>
          <a:ext cx="581025" cy="342786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 i="1">
              <a:latin typeface="+mn-lt"/>
            </a:rPr>
            <a:t>L,[m</a:t>
          </a:r>
          <a:r>
            <a:rPr lang="en-US" sz="1600" b="1" i="1">
              <a:latin typeface="+mn-lt"/>
            </a:rPr>
            <a:t>]</a:t>
          </a:r>
          <a:endParaRPr lang="ru-RU" sz="1600" b="1" i="1">
            <a:latin typeface="+mn-lt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19</xdr:row>
      <xdr:rowOff>123825</xdr:rowOff>
    </xdr:from>
    <xdr:to>
      <xdr:col>14</xdr:col>
      <xdr:colOff>228600</xdr:colOff>
      <xdr:row>41</xdr:row>
      <xdr:rowOff>133349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2B8421B-1A8E-4650-9848-10639F5B51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457199</xdr:colOff>
      <xdr:row>20</xdr:row>
      <xdr:rowOff>38101</xdr:rowOff>
    </xdr:from>
    <xdr:ext cx="514351" cy="34278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A1CF036-73A7-4FE2-9386-DDE3ECA8AA68}"/>
            </a:ext>
          </a:extLst>
        </xdr:cNvPr>
        <xdr:cNvSpPr txBox="1"/>
      </xdr:nvSpPr>
      <xdr:spPr>
        <a:xfrm>
          <a:off x="2285999" y="3878581"/>
          <a:ext cx="514351" cy="342786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 i="1">
              <a:latin typeface="+mn-lt"/>
            </a:rPr>
            <a:t>T,[C</a:t>
          </a:r>
          <a:r>
            <a:rPr lang="en-US" sz="1600" b="1" i="1">
              <a:latin typeface="+mn-lt"/>
            </a:rPr>
            <a:t>]</a:t>
          </a:r>
          <a:endParaRPr lang="ru-RU" sz="1600" b="1" i="1">
            <a:latin typeface="+mn-lt"/>
          </a:endParaRPr>
        </a:p>
      </xdr:txBody>
    </xdr:sp>
    <xdr:clientData/>
  </xdr:oneCellAnchor>
  <xdr:oneCellAnchor>
    <xdr:from>
      <xdr:col>13</xdr:col>
      <xdr:colOff>47625</xdr:colOff>
      <xdr:row>39</xdr:row>
      <xdr:rowOff>152400</xdr:rowOff>
    </xdr:from>
    <xdr:ext cx="581025" cy="3427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637869D-01E4-422E-BB78-23B689FB99E9}"/>
            </a:ext>
          </a:extLst>
        </xdr:cNvPr>
        <xdr:cNvSpPr txBox="1"/>
      </xdr:nvSpPr>
      <xdr:spPr>
        <a:xfrm>
          <a:off x="6920865" y="7467600"/>
          <a:ext cx="581025" cy="342786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 i="1">
              <a:latin typeface="+mn-lt"/>
            </a:rPr>
            <a:t>L,[m</a:t>
          </a:r>
          <a:r>
            <a:rPr lang="en-US" sz="1600" b="1" i="1">
              <a:latin typeface="+mn-lt"/>
            </a:rPr>
            <a:t>]</a:t>
          </a:r>
          <a:endParaRPr lang="ru-RU" sz="1600" b="1" i="1">
            <a:latin typeface="+mn-lt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CAADC-48A8-4EF4-B1FB-ED0289A5A914}">
  <sheetPr codeName="Лист2"/>
  <dimension ref="A2:AJ15"/>
  <sheetViews>
    <sheetView topLeftCell="B1" zoomScale="80" zoomScaleNormal="80" workbookViewId="0">
      <selection activeCell="S31" sqref="S31"/>
    </sheetView>
  </sheetViews>
  <sheetFormatPr defaultRowHeight="14.4" x14ac:dyDescent="0.3"/>
  <cols>
    <col min="4" max="4" width="8.88671875" customWidth="1"/>
    <col min="6" max="6" width="6" bestFit="1" customWidth="1"/>
    <col min="7" max="36" width="7.109375" bestFit="1" customWidth="1"/>
  </cols>
  <sheetData>
    <row r="2" spans="1:36" ht="15" thickBot="1" x14ac:dyDescent="0.35"/>
    <row r="3" spans="1:36" ht="15.6" thickTop="1" thickBot="1" x14ac:dyDescent="0.35">
      <c r="B3" s="2" t="s">
        <v>0</v>
      </c>
      <c r="C3" s="2">
        <v>0.1</v>
      </c>
    </row>
    <row r="4" spans="1:36" ht="15.6" thickTop="1" thickBot="1" x14ac:dyDescent="0.35">
      <c r="B4" s="2" t="s">
        <v>1</v>
      </c>
      <c r="C4" s="6">
        <f>C3/30</f>
        <v>3.3333333333333335E-3</v>
      </c>
    </row>
    <row r="5" spans="1:36" ht="15.6" thickTop="1" thickBot="1" x14ac:dyDescent="0.35">
      <c r="B5" s="3" t="s">
        <v>2</v>
      </c>
      <c r="C5" s="3">
        <f>(C9*C8*C4^2)/(2*C10)</f>
        <v>0.4333333333333334</v>
      </c>
    </row>
    <row r="6" spans="1:36" ht="15.6" thickTop="1" thickBot="1" x14ac:dyDescent="0.35">
      <c r="B6" s="2" t="s">
        <v>3</v>
      </c>
      <c r="C6" s="2">
        <v>300</v>
      </c>
      <c r="D6">
        <v>300.30000000000007</v>
      </c>
    </row>
    <row r="7" spans="1:36" ht="15.6" thickTop="1" thickBot="1" x14ac:dyDescent="0.35">
      <c r="A7" s="5"/>
      <c r="B7" s="5"/>
      <c r="C7" s="5"/>
      <c r="D7" s="5"/>
    </row>
    <row r="8" spans="1:36" ht="15.6" thickTop="1" thickBot="1" x14ac:dyDescent="0.35">
      <c r="B8" s="2" t="s">
        <v>4</v>
      </c>
      <c r="C8" s="2">
        <v>460</v>
      </c>
    </row>
    <row r="9" spans="1:36" ht="15.6" thickTop="1" thickBot="1" x14ac:dyDescent="0.35">
      <c r="B9" s="2" t="s">
        <v>5</v>
      </c>
      <c r="C9" s="2">
        <v>7800</v>
      </c>
      <c r="F9" t="s">
        <v>12</v>
      </c>
    </row>
    <row r="10" spans="1:36" ht="15.6" thickTop="1" thickBot="1" x14ac:dyDescent="0.35">
      <c r="B10" s="2" t="s">
        <v>6</v>
      </c>
      <c r="C10" s="2">
        <v>46</v>
      </c>
    </row>
    <row r="11" spans="1:36" ht="15.6" thickTop="1" thickBot="1" x14ac:dyDescent="0.35">
      <c r="A11" s="5"/>
      <c r="B11" s="5"/>
      <c r="C11" s="5"/>
      <c r="D11" s="5"/>
      <c r="E11" s="1"/>
      <c r="F11" s="7">
        <v>1</v>
      </c>
      <c r="G11" s="7">
        <v>2</v>
      </c>
      <c r="H11" s="7">
        <v>3</v>
      </c>
      <c r="I11" s="7">
        <v>4</v>
      </c>
      <c r="J11" s="7">
        <v>5</v>
      </c>
      <c r="K11" s="7">
        <v>6</v>
      </c>
      <c r="L11" s="7">
        <v>7</v>
      </c>
      <c r="M11" s="7">
        <v>8</v>
      </c>
      <c r="N11" s="7">
        <v>9</v>
      </c>
      <c r="O11" s="7">
        <v>10</v>
      </c>
      <c r="P11" s="7">
        <v>11</v>
      </c>
      <c r="Q11" s="7">
        <v>12</v>
      </c>
      <c r="R11" s="7">
        <v>13</v>
      </c>
      <c r="S11" s="7">
        <v>14</v>
      </c>
      <c r="T11" s="7">
        <v>15</v>
      </c>
      <c r="U11" s="7">
        <v>16</v>
      </c>
      <c r="V11" s="7">
        <v>17</v>
      </c>
      <c r="W11" s="7">
        <v>18</v>
      </c>
      <c r="X11" s="7">
        <v>19</v>
      </c>
      <c r="Y11" s="7">
        <v>20</v>
      </c>
      <c r="Z11" s="7">
        <v>21</v>
      </c>
      <c r="AA11" s="7">
        <v>22</v>
      </c>
      <c r="AB11" s="7">
        <v>23</v>
      </c>
      <c r="AC11" s="7">
        <v>24</v>
      </c>
      <c r="AD11" s="7">
        <v>25</v>
      </c>
      <c r="AE11" s="7">
        <v>26</v>
      </c>
      <c r="AF11" s="7">
        <v>27</v>
      </c>
      <c r="AG11" s="7">
        <v>28</v>
      </c>
      <c r="AH11" s="7">
        <v>29</v>
      </c>
      <c r="AI11" s="7">
        <v>30</v>
      </c>
      <c r="AJ11" s="7">
        <v>31</v>
      </c>
    </row>
    <row r="12" spans="1:36" ht="15.6" thickTop="1" thickBot="1" x14ac:dyDescent="0.35">
      <c r="B12" s="2" t="s">
        <v>8</v>
      </c>
      <c r="C12" s="2">
        <v>300</v>
      </c>
      <c r="E12" s="1" t="s">
        <v>0</v>
      </c>
      <c r="F12" s="8">
        <v>0</v>
      </c>
      <c r="G12" s="9">
        <f>F12+$C$4</f>
        <v>3.3333333333333335E-3</v>
      </c>
      <c r="H12" s="9">
        <f t="shared" ref="H12:AJ12" si="0">G12+$C$4</f>
        <v>6.6666666666666671E-3</v>
      </c>
      <c r="I12" s="9">
        <f t="shared" si="0"/>
        <v>0.01</v>
      </c>
      <c r="J12" s="9">
        <f t="shared" si="0"/>
        <v>1.3333333333333334E-2</v>
      </c>
      <c r="K12" s="9">
        <f t="shared" si="0"/>
        <v>1.6666666666666666E-2</v>
      </c>
      <c r="L12" s="9">
        <f t="shared" si="0"/>
        <v>0.02</v>
      </c>
      <c r="M12" s="9">
        <f t="shared" si="0"/>
        <v>2.3333333333333334E-2</v>
      </c>
      <c r="N12" s="9">
        <f t="shared" si="0"/>
        <v>2.6666666666666668E-2</v>
      </c>
      <c r="O12" s="9">
        <f t="shared" si="0"/>
        <v>3.0000000000000002E-2</v>
      </c>
      <c r="P12" s="9">
        <f t="shared" si="0"/>
        <v>3.3333333333333333E-2</v>
      </c>
      <c r="Q12" s="9">
        <f t="shared" si="0"/>
        <v>3.6666666666666667E-2</v>
      </c>
      <c r="R12" s="9">
        <f t="shared" si="0"/>
        <v>0.04</v>
      </c>
      <c r="S12" s="9">
        <f t="shared" si="0"/>
        <v>4.3333333333333335E-2</v>
      </c>
      <c r="T12" s="9">
        <f t="shared" si="0"/>
        <v>4.6666666666666669E-2</v>
      </c>
      <c r="U12" s="9">
        <f t="shared" si="0"/>
        <v>0.05</v>
      </c>
      <c r="V12" s="9">
        <f t="shared" si="0"/>
        <v>5.3333333333333337E-2</v>
      </c>
      <c r="W12" s="9">
        <f t="shared" si="0"/>
        <v>5.6666666666666671E-2</v>
      </c>
      <c r="X12" s="9">
        <f t="shared" si="0"/>
        <v>6.0000000000000005E-2</v>
      </c>
      <c r="Y12" s="9">
        <f t="shared" si="0"/>
        <v>6.3333333333333339E-2</v>
      </c>
      <c r="Z12" s="9">
        <f t="shared" si="0"/>
        <v>6.6666666666666666E-2</v>
      </c>
      <c r="AA12" s="9">
        <f t="shared" si="0"/>
        <v>6.9999999999999993E-2</v>
      </c>
      <c r="AB12" s="9">
        <f t="shared" si="0"/>
        <v>7.333333333333332E-2</v>
      </c>
      <c r="AC12" s="9">
        <f t="shared" si="0"/>
        <v>7.6666666666666647E-2</v>
      </c>
      <c r="AD12" s="9">
        <f t="shared" si="0"/>
        <v>7.9999999999999974E-2</v>
      </c>
      <c r="AE12" s="9">
        <f t="shared" si="0"/>
        <v>8.3333333333333301E-2</v>
      </c>
      <c r="AF12" s="9">
        <f t="shared" si="0"/>
        <v>8.6666666666666628E-2</v>
      </c>
      <c r="AG12" s="9">
        <f t="shared" si="0"/>
        <v>8.9999999999999955E-2</v>
      </c>
      <c r="AH12" s="9">
        <f t="shared" si="0"/>
        <v>9.3333333333333282E-2</v>
      </c>
      <c r="AI12" s="9">
        <f t="shared" si="0"/>
        <v>9.6666666666666609E-2</v>
      </c>
      <c r="AJ12" s="9">
        <f t="shared" si="0"/>
        <v>9.9999999999999936E-2</v>
      </c>
    </row>
    <row r="13" spans="1:36" ht="15.6" thickTop="1" thickBot="1" x14ac:dyDescent="0.35">
      <c r="B13" s="2" t="s">
        <v>9</v>
      </c>
      <c r="C13" s="2">
        <v>100</v>
      </c>
      <c r="E13" s="1" t="s">
        <v>7</v>
      </c>
      <c r="F13" s="7">
        <v>300</v>
      </c>
      <c r="G13" s="7">
        <v>292.74404332348979</v>
      </c>
      <c r="H13" s="7">
        <v>285.48808664697964</v>
      </c>
      <c r="I13" s="7">
        <v>278.25788514908174</v>
      </c>
      <c r="J13" s="7">
        <v>271.02768365118385</v>
      </c>
      <c r="K13" s="7">
        <v>263.84786682035269</v>
      </c>
      <c r="L13" s="7">
        <v>256.66804998952159</v>
      </c>
      <c r="M13" s="7">
        <v>249.56104514324264</v>
      </c>
      <c r="N13" s="7">
        <v>242.45404029696368</v>
      </c>
      <c r="O13" s="7">
        <v>235.43909236699923</v>
      </c>
      <c r="P13" s="7">
        <v>228.42414443703478</v>
      </c>
      <c r="Q13" s="7">
        <v>221.51647486658405</v>
      </c>
      <c r="R13" s="7">
        <v>214.60880529613331</v>
      </c>
      <c r="S13" s="7">
        <v>207.81894681034277</v>
      </c>
      <c r="T13" s="7">
        <v>201.02908832455222</v>
      </c>
      <c r="U13" s="7">
        <v>194.36242464453176</v>
      </c>
      <c r="V13" s="7">
        <v>187.69576096451127</v>
      </c>
      <c r="W13" s="7">
        <v>181.1522915738426</v>
      </c>
      <c r="X13" s="7">
        <v>174.60882218317391</v>
      </c>
      <c r="Y13" s="7">
        <v>168.18316241720407</v>
      </c>
      <c r="Z13" s="7">
        <v>161.75750265123423</v>
      </c>
      <c r="AA13" s="7">
        <v>155.43911909371423</v>
      </c>
      <c r="AB13" s="7">
        <v>149.12073553619419</v>
      </c>
      <c r="AC13" s="7">
        <v>142.89440642476072</v>
      </c>
      <c r="AD13" s="7">
        <v>136.66807731332725</v>
      </c>
      <c r="AE13" s="7">
        <v>130.51455782417884</v>
      </c>
      <c r="AF13" s="7">
        <v>124.36103833503046</v>
      </c>
      <c r="AG13" s="7">
        <v>118.25790166709999</v>
      </c>
      <c r="AH13" s="7">
        <v>112.1547649991695</v>
      </c>
      <c r="AI13" s="7">
        <v>106.07738249958476</v>
      </c>
      <c r="AJ13" s="7">
        <v>100</v>
      </c>
    </row>
    <row r="14" spans="1:36" ht="15" thickTop="1" x14ac:dyDescent="0.3"/>
    <row r="15" spans="1:36" x14ac:dyDescent="0.3">
      <c r="E15" t="s">
        <v>10</v>
      </c>
      <c r="G15">
        <f>G13+(($C$10*$C$5)/($C$9*$C$8))*(H13-2*G13+F13)/($C$4^2)</f>
        <v>292.74404332348979</v>
      </c>
      <c r="H15">
        <f t="shared" ref="H15:AI15" si="1">H13+(($C$10*$C$5)/($C$9*$C$8))*(I13-2*H13+G13)/($C$4^2)</f>
        <v>285.50096423628577</v>
      </c>
      <c r="I15">
        <f t="shared" si="1"/>
        <v>278.25788514908174</v>
      </c>
      <c r="J15">
        <f t="shared" si="1"/>
        <v>271.05287598471722</v>
      </c>
      <c r="K15">
        <f t="shared" si="1"/>
        <v>263.84786682035269</v>
      </c>
      <c r="L15">
        <f t="shared" si="1"/>
        <v>256.70445598179765</v>
      </c>
      <c r="M15">
        <f t="shared" si="1"/>
        <v>249.56104514324264</v>
      </c>
      <c r="N15">
        <f t="shared" si="1"/>
        <v>242.50006875512094</v>
      </c>
      <c r="O15">
        <f t="shared" si="1"/>
        <v>235.43909236699923</v>
      </c>
      <c r="P15">
        <f t="shared" si="1"/>
        <v>228.47778361679164</v>
      </c>
      <c r="Q15">
        <f t="shared" si="1"/>
        <v>221.51647486658405</v>
      </c>
      <c r="R15">
        <f t="shared" si="1"/>
        <v>214.66771083846339</v>
      </c>
      <c r="S15">
        <f t="shared" si="1"/>
        <v>207.81894681034277</v>
      </c>
      <c r="T15">
        <f t="shared" si="1"/>
        <v>201.09068572743726</v>
      </c>
      <c r="U15">
        <f t="shared" si="1"/>
        <v>194.36242464453176</v>
      </c>
      <c r="V15">
        <f t="shared" si="1"/>
        <v>187.75735810918718</v>
      </c>
      <c r="W15">
        <f t="shared" si="1"/>
        <v>181.1522915738426</v>
      </c>
      <c r="X15">
        <f t="shared" si="1"/>
        <v>174.66772699552334</v>
      </c>
      <c r="Y15">
        <f t="shared" si="1"/>
        <v>168.18316241720407</v>
      </c>
      <c r="Z15">
        <f t="shared" si="1"/>
        <v>161.81114075545915</v>
      </c>
      <c r="AA15">
        <f t="shared" si="1"/>
        <v>155.43911909371423</v>
      </c>
      <c r="AB15">
        <f t="shared" si="1"/>
        <v>149.16676275923749</v>
      </c>
      <c r="AC15">
        <f t="shared" si="1"/>
        <v>142.89440642476072</v>
      </c>
      <c r="AD15">
        <f t="shared" si="1"/>
        <v>136.70448212446979</v>
      </c>
      <c r="AE15">
        <f t="shared" si="1"/>
        <v>130.51455782417884</v>
      </c>
      <c r="AF15">
        <f t="shared" si="1"/>
        <v>124.38622974563941</v>
      </c>
      <c r="AG15">
        <f t="shared" si="1"/>
        <v>118.25790166709999</v>
      </c>
      <c r="AH15">
        <f t="shared" si="1"/>
        <v>112.16764208334237</v>
      </c>
      <c r="AI15">
        <f t="shared" si="1"/>
        <v>106.07738249958476</v>
      </c>
    </row>
  </sheetData>
  <conditionalFormatting sqref="F13:AJ13">
    <cfRule type="colorScale" priority="1">
      <colorScale>
        <cfvo type="min"/>
        <cfvo type="percentile" val="50"/>
        <cfvo type="max"/>
        <color theme="4" tint="-0.249977111117893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1CC25-8390-4160-A964-C56600FEAD5E}">
  <sheetPr codeName="Лист3"/>
  <dimension ref="A2:AJ16"/>
  <sheetViews>
    <sheetView topLeftCell="B1" zoomScale="80" zoomScaleNormal="80" workbookViewId="0">
      <selection activeCell="G13" sqref="G13"/>
    </sheetView>
  </sheetViews>
  <sheetFormatPr defaultRowHeight="14.4" x14ac:dyDescent="0.3"/>
  <cols>
    <col min="4" max="4" width="8.88671875" customWidth="1"/>
    <col min="6" max="6" width="6" bestFit="1" customWidth="1"/>
    <col min="7" max="36" width="7.109375" bestFit="1" customWidth="1"/>
  </cols>
  <sheetData>
    <row r="2" spans="1:36" ht="15" thickBot="1" x14ac:dyDescent="0.35"/>
    <row r="3" spans="1:36" ht="15.6" thickTop="1" thickBot="1" x14ac:dyDescent="0.35">
      <c r="B3" s="2" t="s">
        <v>0</v>
      </c>
      <c r="C3" s="2">
        <v>0.1</v>
      </c>
    </row>
    <row r="4" spans="1:36" ht="15.6" thickTop="1" thickBot="1" x14ac:dyDescent="0.35">
      <c r="B4" s="2" t="s">
        <v>1</v>
      </c>
      <c r="C4" s="6">
        <f>C3/30</f>
        <v>3.3333333333333335E-3</v>
      </c>
    </row>
    <row r="5" spans="1:36" ht="15.6" thickTop="1" thickBot="1" x14ac:dyDescent="0.35">
      <c r="B5" s="3" t="s">
        <v>2</v>
      </c>
      <c r="C5" s="3">
        <f>(C9*C8*C4^2)/(2*C10)</f>
        <v>0.4333333333333334</v>
      </c>
    </row>
    <row r="6" spans="1:36" ht="15.6" thickTop="1" thickBot="1" x14ac:dyDescent="0.35">
      <c r="B6" s="2" t="s">
        <v>3</v>
      </c>
      <c r="C6" s="2">
        <v>5000</v>
      </c>
      <c r="D6">
        <v>5000.2333333333345</v>
      </c>
    </row>
    <row r="7" spans="1:36" ht="15.6" thickTop="1" thickBot="1" x14ac:dyDescent="0.35">
      <c r="A7" s="5"/>
      <c r="B7" s="5"/>
      <c r="C7" s="5"/>
      <c r="D7" s="5"/>
    </row>
    <row r="8" spans="1:36" ht="15.6" thickTop="1" thickBot="1" x14ac:dyDescent="0.35">
      <c r="B8" s="2" t="s">
        <v>4</v>
      </c>
      <c r="C8" s="2">
        <v>460</v>
      </c>
    </row>
    <row r="9" spans="1:36" ht="15.6" thickTop="1" thickBot="1" x14ac:dyDescent="0.35">
      <c r="B9" s="2" t="s">
        <v>5</v>
      </c>
      <c r="C9" s="2">
        <v>7800</v>
      </c>
      <c r="F9" t="s">
        <v>12</v>
      </c>
    </row>
    <row r="10" spans="1:36" ht="15.6" thickTop="1" thickBot="1" x14ac:dyDescent="0.35">
      <c r="B10" s="2" t="s">
        <v>6</v>
      </c>
      <c r="C10" s="2">
        <v>46</v>
      </c>
    </row>
    <row r="11" spans="1:36" ht="15.6" thickTop="1" thickBot="1" x14ac:dyDescent="0.35">
      <c r="A11" s="5"/>
      <c r="B11" s="5"/>
      <c r="C11" s="5"/>
      <c r="D11" s="5"/>
      <c r="E11" s="1"/>
      <c r="F11" s="7">
        <v>1</v>
      </c>
      <c r="G11" s="7">
        <v>2</v>
      </c>
      <c r="H11" s="7">
        <v>3</v>
      </c>
      <c r="I11" s="7">
        <v>4</v>
      </c>
      <c r="J11" s="7">
        <v>5</v>
      </c>
      <c r="K11" s="7">
        <v>6</v>
      </c>
      <c r="L11" s="7">
        <v>7</v>
      </c>
      <c r="M11" s="7">
        <v>8</v>
      </c>
      <c r="N11" s="7">
        <v>9</v>
      </c>
      <c r="O11" s="7">
        <v>10</v>
      </c>
      <c r="P11" s="7">
        <v>11</v>
      </c>
      <c r="Q11" s="7">
        <v>12</v>
      </c>
      <c r="R11" s="7">
        <v>13</v>
      </c>
      <c r="S11" s="7">
        <v>14</v>
      </c>
      <c r="T11" s="7">
        <v>15</v>
      </c>
      <c r="U11" s="7">
        <v>16</v>
      </c>
      <c r="V11" s="7">
        <v>17</v>
      </c>
      <c r="W11" s="7">
        <v>18</v>
      </c>
      <c r="X11" s="7">
        <v>19</v>
      </c>
      <c r="Y11" s="7">
        <v>20</v>
      </c>
      <c r="Z11" s="7">
        <v>21</v>
      </c>
      <c r="AA11" s="7">
        <v>22</v>
      </c>
      <c r="AB11" s="7">
        <v>23</v>
      </c>
      <c r="AC11" s="7">
        <v>24</v>
      </c>
      <c r="AD11" s="7">
        <v>25</v>
      </c>
      <c r="AE11" s="7">
        <v>26</v>
      </c>
      <c r="AF11" s="7">
        <v>27</v>
      </c>
      <c r="AG11" s="7">
        <v>28</v>
      </c>
      <c r="AH11" s="7">
        <v>29</v>
      </c>
      <c r="AI11" s="7">
        <v>30</v>
      </c>
      <c r="AJ11" s="7">
        <v>31</v>
      </c>
    </row>
    <row r="12" spans="1:36" ht="15.6" thickTop="1" thickBot="1" x14ac:dyDescent="0.35">
      <c r="B12" s="2" t="s">
        <v>11</v>
      </c>
      <c r="C12" s="2">
        <v>92000</v>
      </c>
      <c r="E12" s="1" t="s">
        <v>0</v>
      </c>
      <c r="F12" s="8">
        <v>0</v>
      </c>
      <c r="G12" s="9">
        <f>F12+$C$4</f>
        <v>3.3333333333333335E-3</v>
      </c>
      <c r="H12" s="9">
        <f t="shared" ref="H12:AJ12" si="0">G12+$C$4</f>
        <v>6.6666666666666671E-3</v>
      </c>
      <c r="I12" s="9">
        <f t="shared" si="0"/>
        <v>0.01</v>
      </c>
      <c r="J12" s="9">
        <f t="shared" si="0"/>
        <v>1.3333333333333334E-2</v>
      </c>
      <c r="K12" s="9">
        <f t="shared" si="0"/>
        <v>1.6666666666666666E-2</v>
      </c>
      <c r="L12" s="9">
        <f t="shared" si="0"/>
        <v>0.02</v>
      </c>
      <c r="M12" s="9">
        <f t="shared" si="0"/>
        <v>2.3333333333333334E-2</v>
      </c>
      <c r="N12" s="9">
        <f t="shared" si="0"/>
        <v>2.6666666666666668E-2</v>
      </c>
      <c r="O12" s="9">
        <f t="shared" si="0"/>
        <v>3.0000000000000002E-2</v>
      </c>
      <c r="P12" s="9">
        <f t="shared" si="0"/>
        <v>3.3333333333333333E-2</v>
      </c>
      <c r="Q12" s="9">
        <f t="shared" si="0"/>
        <v>3.6666666666666667E-2</v>
      </c>
      <c r="R12" s="9">
        <f t="shared" si="0"/>
        <v>0.04</v>
      </c>
      <c r="S12" s="9">
        <f t="shared" si="0"/>
        <v>4.3333333333333335E-2</v>
      </c>
      <c r="T12" s="9">
        <f t="shared" si="0"/>
        <v>4.6666666666666669E-2</v>
      </c>
      <c r="U12" s="9">
        <f t="shared" si="0"/>
        <v>0.05</v>
      </c>
      <c r="V12" s="9">
        <f t="shared" si="0"/>
        <v>5.3333333333333337E-2</v>
      </c>
      <c r="W12" s="9">
        <f t="shared" si="0"/>
        <v>5.6666666666666671E-2</v>
      </c>
      <c r="X12" s="9">
        <f t="shared" si="0"/>
        <v>6.0000000000000005E-2</v>
      </c>
      <c r="Y12" s="9">
        <f t="shared" si="0"/>
        <v>6.3333333333333339E-2</v>
      </c>
      <c r="Z12" s="9">
        <f t="shared" si="0"/>
        <v>6.6666666666666666E-2</v>
      </c>
      <c r="AA12" s="9">
        <f t="shared" si="0"/>
        <v>6.9999999999999993E-2</v>
      </c>
      <c r="AB12" s="9">
        <f t="shared" si="0"/>
        <v>7.333333333333332E-2</v>
      </c>
      <c r="AC12" s="9">
        <f t="shared" si="0"/>
        <v>7.6666666666666647E-2</v>
      </c>
      <c r="AD12" s="9">
        <f t="shared" si="0"/>
        <v>7.9999999999999974E-2</v>
      </c>
      <c r="AE12" s="9">
        <f t="shared" si="0"/>
        <v>8.3333333333333301E-2</v>
      </c>
      <c r="AF12" s="9">
        <f t="shared" si="0"/>
        <v>8.6666666666666628E-2</v>
      </c>
      <c r="AG12" s="9">
        <f t="shared" si="0"/>
        <v>8.9999999999999955E-2</v>
      </c>
      <c r="AH12" s="9">
        <f t="shared" si="0"/>
        <v>9.3333333333333282E-2</v>
      </c>
      <c r="AI12" s="9">
        <f t="shared" si="0"/>
        <v>9.6666666666666609E-2</v>
      </c>
      <c r="AJ12" s="9">
        <f t="shared" si="0"/>
        <v>9.9999999999999936E-2</v>
      </c>
    </row>
    <row r="13" spans="1:36" ht="15.6" thickTop="1" thickBot="1" x14ac:dyDescent="0.35">
      <c r="B13" s="2" t="s">
        <v>9</v>
      </c>
      <c r="C13" s="2">
        <v>100</v>
      </c>
      <c r="E13" s="1" t="s">
        <v>7</v>
      </c>
      <c r="F13" s="7">
        <f>G13+((F16*$C$4)/$C$10)</f>
        <v>299.99997763108735</v>
      </c>
      <c r="G13" s="7">
        <v>293.33331096442066</v>
      </c>
      <c r="H13" s="7">
        <v>286.6666443611611</v>
      </c>
      <c r="I13" s="7">
        <v>279.99997782112894</v>
      </c>
      <c r="J13" s="7">
        <v>273.33331134396514</v>
      </c>
      <c r="K13" s="7">
        <v>266.66664492913264</v>
      </c>
      <c r="L13" s="7">
        <v>259.99997857591751</v>
      </c>
      <c r="M13" s="7">
        <v>253.3333122834313</v>
      </c>
      <c r="N13" s="7">
        <v>246.66664605061328</v>
      </c>
      <c r="O13" s="7">
        <v>239.99997987623377</v>
      </c>
      <c r="P13" s="7">
        <v>233.33331375889719</v>
      </c>
      <c r="Q13" s="7">
        <v>226.66664769704656</v>
      </c>
      <c r="R13" s="7">
        <v>219.9999816889673</v>
      </c>
      <c r="S13" s="7">
        <v>213.33331573279273</v>
      </c>
      <c r="T13" s="7">
        <v>206.66664982650872</v>
      </c>
      <c r="U13" s="7">
        <v>199.99998396796005</v>
      </c>
      <c r="V13" s="7">
        <v>193.33331815485587</v>
      </c>
      <c r="W13" s="7">
        <v>186.6666523847768</v>
      </c>
      <c r="X13" s="7">
        <v>179.99998665518126</v>
      </c>
      <c r="Y13" s="7">
        <v>173.33332096341309</v>
      </c>
      <c r="Z13" s="7">
        <v>166.66665530670878</v>
      </c>
      <c r="AA13" s="7">
        <v>159.9999896822055</v>
      </c>
      <c r="AB13" s="7">
        <v>153.33332408694912</v>
      </c>
      <c r="AC13" s="7">
        <v>146.66665851790265</v>
      </c>
      <c r="AD13" s="7">
        <v>139.99999297195473</v>
      </c>
      <c r="AE13" s="7">
        <v>133.33332744592857</v>
      </c>
      <c r="AF13" s="7">
        <v>126.66666193659087</v>
      </c>
      <c r="AG13" s="7">
        <v>119.99999644066111</v>
      </c>
      <c r="AH13" s="7">
        <v>113.3333309548207</v>
      </c>
      <c r="AI13" s="7">
        <v>106.66666547572241</v>
      </c>
      <c r="AJ13" s="7">
        <v>100</v>
      </c>
    </row>
    <row r="14" spans="1:36" ht="15" thickTop="1" x14ac:dyDescent="0.3"/>
    <row r="15" spans="1:36" x14ac:dyDescent="0.3">
      <c r="E15" t="s">
        <v>10</v>
      </c>
      <c r="G15">
        <f>G13+(($C$10*$C$5)/($C$9*$C$8))*(H13-2*G13+F13)/($C$4^2)</f>
        <v>293.33331099612423</v>
      </c>
      <c r="H15">
        <f t="shared" ref="H15:AI15" si="1">H13+(($C$10*$C$5)/($C$9*$C$8))*(I13-2*H13+G13)/($C$4^2)</f>
        <v>286.6666443927748</v>
      </c>
      <c r="I15">
        <f t="shared" si="1"/>
        <v>279.99997785256312</v>
      </c>
      <c r="J15">
        <f t="shared" si="1"/>
        <v>273.33331137513079</v>
      </c>
      <c r="K15">
        <f t="shared" si="1"/>
        <v>266.66664495994132</v>
      </c>
      <c r="L15">
        <f t="shared" si="1"/>
        <v>259.99997860628196</v>
      </c>
      <c r="M15">
        <f t="shared" si="1"/>
        <v>253.3333123132654</v>
      </c>
      <c r="N15">
        <f t="shared" si="1"/>
        <v>246.66664607983253</v>
      </c>
      <c r="O15">
        <f t="shared" si="1"/>
        <v>239.99997990475524</v>
      </c>
      <c r="P15">
        <f t="shared" si="1"/>
        <v>233.33331378664016</v>
      </c>
      <c r="Q15">
        <f t="shared" si="1"/>
        <v>226.66664772393224</v>
      </c>
      <c r="R15">
        <f t="shared" si="1"/>
        <v>219.99998171491964</v>
      </c>
      <c r="S15">
        <f t="shared" si="1"/>
        <v>213.33331575773801</v>
      </c>
      <c r="T15">
        <f t="shared" si="1"/>
        <v>206.66664985037639</v>
      </c>
      <c r="U15">
        <f t="shared" si="1"/>
        <v>199.9999839906823</v>
      </c>
      <c r="V15">
        <f t="shared" si="1"/>
        <v>193.33331817636844</v>
      </c>
      <c r="W15">
        <f t="shared" si="1"/>
        <v>186.66665240501857</v>
      </c>
      <c r="X15">
        <f t="shared" si="1"/>
        <v>179.99998667409494</v>
      </c>
      <c r="Y15">
        <f t="shared" si="1"/>
        <v>173.33332098094502</v>
      </c>
      <c r="Z15">
        <f t="shared" si="1"/>
        <v>166.66665532280928</v>
      </c>
      <c r="AA15">
        <f t="shared" si="1"/>
        <v>159.99998969682895</v>
      </c>
      <c r="AB15">
        <f t="shared" si="1"/>
        <v>153.33332410005409</v>
      </c>
      <c r="AC15">
        <f t="shared" si="1"/>
        <v>146.66665852945192</v>
      </c>
      <c r="AD15">
        <f t="shared" si="1"/>
        <v>139.99999298191563</v>
      </c>
      <c r="AE15">
        <f t="shared" si="1"/>
        <v>133.33332745427279</v>
      </c>
      <c r="AF15">
        <f t="shared" si="1"/>
        <v>126.66666194329484</v>
      </c>
      <c r="AG15">
        <f t="shared" si="1"/>
        <v>119.99999644570579</v>
      </c>
      <c r="AH15">
        <f t="shared" si="1"/>
        <v>113.33333095819177</v>
      </c>
      <c r="AI15">
        <f t="shared" si="1"/>
        <v>106.66666547741035</v>
      </c>
    </row>
    <row r="16" spans="1:36" x14ac:dyDescent="0.3">
      <c r="E16" t="s">
        <v>13</v>
      </c>
      <c r="F16">
        <v>92000</v>
      </c>
      <c r="G16">
        <f>-$C$10*((G13-F13)/$C$4)</f>
        <v>92000.000000000247</v>
      </c>
      <c r="H16">
        <f t="shared" ref="H16:AI16" si="2">-$C$10*((H13-G13)/$C$4)</f>
        <v>91999.999124981885</v>
      </c>
      <c r="I16">
        <f t="shared" si="2"/>
        <v>91999.998252443896</v>
      </c>
      <c r="J16">
        <f t="shared" si="2"/>
        <v>91999.997384860442</v>
      </c>
      <c r="K16">
        <f t="shared" si="2"/>
        <v>91999.996524688366</v>
      </c>
      <c r="L16">
        <f t="shared" si="2"/>
        <v>91999.995674368853</v>
      </c>
      <c r="M16">
        <f t="shared" si="2"/>
        <v>91999.994836309721</v>
      </c>
      <c r="N16">
        <f t="shared" si="2"/>
        <v>91999.994012888623</v>
      </c>
      <c r="O16">
        <f t="shared" si="2"/>
        <v>91999.993206437299</v>
      </c>
      <c r="P16">
        <f t="shared" si="2"/>
        <v>91999.992419244736</v>
      </c>
      <c r="Q16">
        <f t="shared" si="2"/>
        <v>91999.991653538746</v>
      </c>
      <c r="R16">
        <f t="shared" si="2"/>
        <v>91999.990911493791</v>
      </c>
      <c r="S16">
        <f t="shared" si="2"/>
        <v>91999.990195209044</v>
      </c>
      <c r="T16">
        <f t="shared" si="2"/>
        <v>91999.989506719328</v>
      </c>
      <c r="U16">
        <f t="shared" si="2"/>
        <v>91999.988847971617</v>
      </c>
      <c r="V16">
        <f t="shared" si="2"/>
        <v>91999.988220837593</v>
      </c>
      <c r="W16">
        <f t="shared" si="2"/>
        <v>91999.987627091265</v>
      </c>
      <c r="X16">
        <f t="shared" si="2"/>
        <v>91999.987068418384</v>
      </c>
      <c r="Y16">
        <f t="shared" si="2"/>
        <v>91999.986546400789</v>
      </c>
      <c r="Z16">
        <f t="shared" si="2"/>
        <v>91999.986062519471</v>
      </c>
      <c r="AA16">
        <f t="shared" si="2"/>
        <v>91999.985618145278</v>
      </c>
      <c r="AB16">
        <f t="shared" si="2"/>
        <v>91999.985214537985</v>
      </c>
      <c r="AC16">
        <f t="shared" si="2"/>
        <v>91999.984852841313</v>
      </c>
      <c r="AD16">
        <f t="shared" si="2"/>
        <v>91999.984534081304</v>
      </c>
      <c r="AE16">
        <f t="shared" si="2"/>
        <v>91999.984259160876</v>
      </c>
      <c r="AF16">
        <f t="shared" si="2"/>
        <v>91999.984028860315</v>
      </c>
      <c r="AG16">
        <f t="shared" si="2"/>
        <v>91999.98384383072</v>
      </c>
      <c r="AH16">
        <f t="shared" si="2"/>
        <v>91999.983704597675</v>
      </c>
      <c r="AI16">
        <f t="shared" si="2"/>
        <v>91999.983611556323</v>
      </c>
    </row>
  </sheetData>
  <conditionalFormatting sqref="F13:AJ13">
    <cfRule type="colorScale" priority="1">
      <colorScale>
        <cfvo type="min"/>
        <cfvo type="percentile" val="50"/>
        <cfvo type="max"/>
        <color theme="4" tint="-0.249977111117893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FCDE2-320E-4D00-9626-C2A42D65B6FC}">
  <sheetPr codeName="Лист4"/>
  <dimension ref="A2:AJ16"/>
  <sheetViews>
    <sheetView tabSelected="1" topLeftCell="B1" zoomScale="80" zoomScaleNormal="80" workbookViewId="0">
      <selection activeCell="F3" sqref="F3"/>
    </sheetView>
  </sheetViews>
  <sheetFormatPr defaultRowHeight="14.4" x14ac:dyDescent="0.3"/>
  <cols>
    <col min="4" max="4" width="8.88671875" customWidth="1"/>
    <col min="6" max="6" width="6" bestFit="1" customWidth="1"/>
    <col min="7" max="36" width="7.109375" bestFit="1" customWidth="1"/>
  </cols>
  <sheetData>
    <row r="2" spans="1:36" ht="15" thickBot="1" x14ac:dyDescent="0.35"/>
    <row r="3" spans="1:36" ht="15.6" thickTop="1" thickBot="1" x14ac:dyDescent="0.35">
      <c r="B3" s="2" t="s">
        <v>0</v>
      </c>
      <c r="C3" s="2">
        <v>0.1</v>
      </c>
    </row>
    <row r="4" spans="1:36" ht="15.6" thickTop="1" thickBot="1" x14ac:dyDescent="0.35">
      <c r="B4" s="2" t="s">
        <v>1</v>
      </c>
      <c r="C4" s="6">
        <f>C3/30</f>
        <v>3.3333333333333335E-3</v>
      </c>
    </row>
    <row r="5" spans="1:36" ht="15.6" thickTop="1" thickBot="1" x14ac:dyDescent="0.35">
      <c r="B5" s="3" t="s">
        <v>2</v>
      </c>
      <c r="C5" s="3">
        <f>(C9*C8*C4^2)/(2*C10)</f>
        <v>0.4333333333333334</v>
      </c>
    </row>
    <row r="6" spans="1:36" ht="15.6" thickTop="1" thickBot="1" x14ac:dyDescent="0.35">
      <c r="B6" s="2" t="s">
        <v>3</v>
      </c>
      <c r="C6" s="2">
        <v>1000</v>
      </c>
      <c r="D6">
        <v>1000.1333333333334</v>
      </c>
    </row>
    <row r="7" spans="1:36" ht="15.6" thickTop="1" thickBot="1" x14ac:dyDescent="0.35">
      <c r="A7" s="5"/>
      <c r="B7" s="5"/>
      <c r="C7" s="5"/>
      <c r="D7" s="5"/>
    </row>
    <row r="8" spans="1:36" ht="15.6" thickTop="1" thickBot="1" x14ac:dyDescent="0.35">
      <c r="B8" s="2" t="s">
        <v>4</v>
      </c>
      <c r="C8" s="2">
        <v>460</v>
      </c>
    </row>
    <row r="9" spans="1:36" ht="15.6" thickTop="1" thickBot="1" x14ac:dyDescent="0.35">
      <c r="B9" s="2" t="s">
        <v>5</v>
      </c>
      <c r="C9" s="2">
        <v>7800</v>
      </c>
      <c r="F9" t="s">
        <v>12</v>
      </c>
    </row>
    <row r="10" spans="1:36" ht="15.6" thickTop="1" thickBot="1" x14ac:dyDescent="0.35">
      <c r="B10" s="3" t="s">
        <v>6</v>
      </c>
      <c r="C10" s="3">
        <v>46</v>
      </c>
    </row>
    <row r="11" spans="1:36" ht="15.6" thickTop="1" thickBot="1" x14ac:dyDescent="0.35">
      <c r="A11" s="5"/>
      <c r="B11" s="10" t="s">
        <v>14</v>
      </c>
      <c r="C11" s="10">
        <v>63</v>
      </c>
      <c r="D11" s="5"/>
      <c r="E11" s="1"/>
      <c r="F11" s="7">
        <v>1</v>
      </c>
      <c r="G11" s="7">
        <v>2</v>
      </c>
      <c r="H11" s="7">
        <v>3</v>
      </c>
      <c r="I11" s="7">
        <v>4</v>
      </c>
      <c r="J11" s="7">
        <v>5</v>
      </c>
      <c r="K11" s="7">
        <v>6</v>
      </c>
      <c r="L11" s="7">
        <v>7</v>
      </c>
      <c r="M11" s="7">
        <v>8</v>
      </c>
      <c r="N11" s="7">
        <v>9</v>
      </c>
      <c r="O11" s="7">
        <v>10</v>
      </c>
      <c r="P11" s="7">
        <v>11</v>
      </c>
      <c r="Q11" s="7">
        <v>12</v>
      </c>
      <c r="R11" s="7">
        <v>13</v>
      </c>
      <c r="S11" s="7">
        <v>14</v>
      </c>
      <c r="T11" s="7">
        <v>15</v>
      </c>
      <c r="U11" s="7">
        <v>16</v>
      </c>
      <c r="V11" s="7">
        <v>17</v>
      </c>
      <c r="W11" s="7">
        <v>18</v>
      </c>
      <c r="X11" s="7">
        <v>19</v>
      </c>
      <c r="Y11" s="7">
        <v>20</v>
      </c>
      <c r="Z11" s="7">
        <v>21</v>
      </c>
      <c r="AA11" s="7">
        <v>22</v>
      </c>
      <c r="AB11" s="7">
        <v>23</v>
      </c>
      <c r="AC11" s="7">
        <v>24</v>
      </c>
      <c r="AD11" s="7">
        <v>25</v>
      </c>
      <c r="AE11" s="7">
        <v>26</v>
      </c>
      <c r="AF11" s="7">
        <v>27</v>
      </c>
      <c r="AG11" s="7">
        <v>28</v>
      </c>
      <c r="AH11" s="7">
        <v>29</v>
      </c>
      <c r="AI11" s="7">
        <v>30</v>
      </c>
      <c r="AJ11" s="7">
        <v>31</v>
      </c>
    </row>
    <row r="12" spans="1:36" ht="15.6" thickTop="1" thickBot="1" x14ac:dyDescent="0.35">
      <c r="B12" s="4" t="s">
        <v>15</v>
      </c>
      <c r="C12" s="4">
        <v>100</v>
      </c>
      <c r="E12" s="1" t="s">
        <v>0</v>
      </c>
      <c r="F12" s="8">
        <v>0</v>
      </c>
      <c r="G12" s="9">
        <f>F12+$C$4</f>
        <v>3.3333333333333335E-3</v>
      </c>
      <c r="H12" s="9">
        <f t="shared" ref="H12:AJ12" si="0">G12+$C$4</f>
        <v>6.6666666666666671E-3</v>
      </c>
      <c r="I12" s="9">
        <f t="shared" si="0"/>
        <v>0.01</v>
      </c>
      <c r="J12" s="9">
        <f t="shared" si="0"/>
        <v>1.3333333333333334E-2</v>
      </c>
      <c r="K12" s="9">
        <f t="shared" si="0"/>
        <v>1.6666666666666666E-2</v>
      </c>
      <c r="L12" s="9">
        <f t="shared" si="0"/>
        <v>0.02</v>
      </c>
      <c r="M12" s="9">
        <f t="shared" si="0"/>
        <v>2.3333333333333334E-2</v>
      </c>
      <c r="N12" s="9">
        <f t="shared" si="0"/>
        <v>2.6666666666666668E-2</v>
      </c>
      <c r="O12" s="9">
        <f t="shared" si="0"/>
        <v>3.0000000000000002E-2</v>
      </c>
      <c r="P12" s="9">
        <f t="shared" si="0"/>
        <v>3.3333333333333333E-2</v>
      </c>
      <c r="Q12" s="9">
        <f t="shared" si="0"/>
        <v>3.6666666666666667E-2</v>
      </c>
      <c r="R12" s="9">
        <f t="shared" si="0"/>
        <v>0.04</v>
      </c>
      <c r="S12" s="9">
        <f t="shared" si="0"/>
        <v>4.3333333333333335E-2</v>
      </c>
      <c r="T12" s="9">
        <f t="shared" si="0"/>
        <v>4.6666666666666669E-2</v>
      </c>
      <c r="U12" s="9">
        <f t="shared" si="0"/>
        <v>0.05</v>
      </c>
      <c r="V12" s="9">
        <f t="shared" si="0"/>
        <v>5.3333333333333337E-2</v>
      </c>
      <c r="W12" s="9">
        <f t="shared" si="0"/>
        <v>5.6666666666666671E-2</v>
      </c>
      <c r="X12" s="9">
        <f t="shared" si="0"/>
        <v>6.0000000000000005E-2</v>
      </c>
      <c r="Y12" s="9">
        <f t="shared" si="0"/>
        <v>6.3333333333333339E-2</v>
      </c>
      <c r="Z12" s="9">
        <f t="shared" si="0"/>
        <v>6.6666666666666666E-2</v>
      </c>
      <c r="AA12" s="9">
        <f t="shared" si="0"/>
        <v>6.9999999999999993E-2</v>
      </c>
      <c r="AB12" s="9">
        <f t="shared" si="0"/>
        <v>7.333333333333332E-2</v>
      </c>
      <c r="AC12" s="9">
        <f t="shared" si="0"/>
        <v>7.6666666666666647E-2</v>
      </c>
      <c r="AD12" s="9">
        <f t="shared" si="0"/>
        <v>7.9999999999999974E-2</v>
      </c>
      <c r="AE12" s="9">
        <f t="shared" si="0"/>
        <v>8.3333333333333301E-2</v>
      </c>
      <c r="AF12" s="9">
        <f t="shared" si="0"/>
        <v>8.6666666666666628E-2</v>
      </c>
      <c r="AG12" s="9">
        <f t="shared" si="0"/>
        <v>8.9999999999999955E-2</v>
      </c>
      <c r="AH12" s="9">
        <f t="shared" si="0"/>
        <v>9.3333333333333282E-2</v>
      </c>
      <c r="AI12" s="9">
        <f t="shared" si="0"/>
        <v>9.6666666666666609E-2</v>
      </c>
      <c r="AJ12" s="9">
        <f t="shared" si="0"/>
        <v>9.9999999999999936E-2</v>
      </c>
    </row>
    <row r="13" spans="1:36" ht="15.6" thickTop="1" thickBot="1" x14ac:dyDescent="0.35">
      <c r="B13" s="2" t="s">
        <v>16</v>
      </c>
      <c r="C13" s="2">
        <v>20</v>
      </c>
      <c r="E13" s="1" t="s">
        <v>7</v>
      </c>
      <c r="F13" s="7">
        <f>G13+(($C$11*($C$12-$C$13)*$C$4)/$C$10)</f>
        <v>29.661999197871289</v>
      </c>
      <c r="G13" s="7">
        <v>29.296781806566941</v>
      </c>
      <c r="H13" s="7">
        <v>28.935233895675822</v>
      </c>
      <c r="I13" s="7">
        <v>28.57734500133509</v>
      </c>
      <c r="J13" s="7">
        <v>28.223094474061632</v>
      </c>
      <c r="K13" s="7">
        <v>27.872451042938547</v>
      </c>
      <c r="L13" s="7">
        <v>27.525373638766656</v>
      </c>
      <c r="M13" s="7">
        <v>27.181810544127231</v>
      </c>
      <c r="N13" s="7">
        <v>26.841700727225529</v>
      </c>
      <c r="O13" s="7">
        <v>26.504972620206598</v>
      </c>
      <c r="P13" s="7">
        <v>26.171545908345795</v>
      </c>
      <c r="Q13" s="7">
        <v>25.84132999772142</v>
      </c>
      <c r="R13" s="7">
        <v>25.514226185724361</v>
      </c>
      <c r="S13" s="7">
        <v>25.190125895089981</v>
      </c>
      <c r="T13" s="7">
        <v>24.868913136284426</v>
      </c>
      <c r="U13" s="7">
        <v>24.550462597229068</v>
      </c>
      <c r="V13" s="7">
        <v>24.23464229665047</v>
      </c>
      <c r="W13" s="7">
        <v>23.921311627016443</v>
      </c>
      <c r="X13" s="7">
        <v>23.610324090909334</v>
      </c>
      <c r="Y13" s="7">
        <v>23.301525398344417</v>
      </c>
      <c r="Z13" s="7">
        <v>22.994756175941333</v>
      </c>
      <c r="AA13" s="7">
        <v>22.689850218730903</v>
      </c>
      <c r="AB13" s="7">
        <v>22.386637064443796</v>
      </c>
      <c r="AC13" s="7">
        <v>22.084940494163121</v>
      </c>
      <c r="AD13" s="7">
        <v>21.784580871292931</v>
      </c>
      <c r="AE13" s="7">
        <v>21.485373975227027</v>
      </c>
      <c r="AF13" s="7">
        <v>21.187133016162292</v>
      </c>
      <c r="AG13" s="7">
        <v>20.889667871777267</v>
      </c>
      <c r="AH13" s="7">
        <v>20.592786704481462</v>
      </c>
      <c r="AI13" s="7">
        <v>20.296295653561259</v>
      </c>
      <c r="AJ13" s="7">
        <v>20</v>
      </c>
    </row>
    <row r="14" spans="1:36" ht="15" thickTop="1" x14ac:dyDescent="0.3"/>
    <row r="15" spans="1:36" x14ac:dyDescent="0.3">
      <c r="E15" t="s">
        <v>10</v>
      </c>
      <c r="G15">
        <f>G13+(($C$10*$C$5)/($C$9*$C$8))*(H13-2*G13+F13)/($C$4^2)</f>
        <v>29.298616546773555</v>
      </c>
      <c r="H15">
        <f t="shared" ref="H15:AI15" si="1">H13+(($C$10*$C$5)/($C$9*$C$8))*(I13-2*H13+G13)/($C$4^2)</f>
        <v>28.937063403951015</v>
      </c>
      <c r="I15">
        <f t="shared" si="1"/>
        <v>28.579164184868727</v>
      </c>
      <c r="J15">
        <f t="shared" si="1"/>
        <v>28.22489802213682</v>
      </c>
      <c r="K15">
        <f t="shared" si="1"/>
        <v>27.874234056414146</v>
      </c>
      <c r="L15">
        <f t="shared" si="1"/>
        <v>27.527130793532891</v>
      </c>
      <c r="M15">
        <f t="shared" si="1"/>
        <v>27.183537182996091</v>
      </c>
      <c r="N15">
        <f t="shared" si="1"/>
        <v>26.843391582166916</v>
      </c>
      <c r="O15">
        <f t="shared" si="1"/>
        <v>26.50662331778566</v>
      </c>
      <c r="P15">
        <f t="shared" si="1"/>
        <v>26.173151308964009</v>
      </c>
      <c r="Q15">
        <f t="shared" si="1"/>
        <v>25.84288604703508</v>
      </c>
      <c r="R15">
        <f t="shared" si="1"/>
        <v>25.515727946405701</v>
      </c>
      <c r="S15">
        <f t="shared" si="1"/>
        <v>25.191569661004394</v>
      </c>
      <c r="T15">
        <f t="shared" si="1"/>
        <v>24.870294246159524</v>
      </c>
      <c r="U15">
        <f t="shared" si="1"/>
        <v>24.551777716467448</v>
      </c>
      <c r="V15">
        <f t="shared" si="1"/>
        <v>24.235887112122754</v>
      </c>
      <c r="W15">
        <f t="shared" si="1"/>
        <v>23.922483193779904</v>
      </c>
      <c r="X15">
        <f t="shared" si="1"/>
        <v>23.61141851268043</v>
      </c>
      <c r="Y15">
        <f t="shared" si="1"/>
        <v>23.302540133425332</v>
      </c>
      <c r="Z15">
        <f t="shared" si="1"/>
        <v>22.99568780853766</v>
      </c>
      <c r="AA15">
        <f t="shared" si="1"/>
        <v>22.690696620192565</v>
      </c>
      <c r="AB15">
        <f t="shared" si="1"/>
        <v>22.387395356447012</v>
      </c>
      <c r="AC15">
        <f t="shared" si="1"/>
        <v>22.085608967868364</v>
      </c>
      <c r="AD15">
        <f t="shared" si="1"/>
        <v>21.785157234695074</v>
      </c>
      <c r="AE15">
        <f t="shared" si="1"/>
        <v>21.485856943727612</v>
      </c>
      <c r="AF15">
        <f t="shared" si="1"/>
        <v>21.187520923502149</v>
      </c>
      <c r="AG15">
        <f t="shared" si="1"/>
        <v>20.889959860321877</v>
      </c>
      <c r="AH15">
        <f t="shared" si="1"/>
        <v>20.592981762669261</v>
      </c>
      <c r="AI15">
        <f t="shared" si="1"/>
        <v>20.296393352240731</v>
      </c>
    </row>
    <row r="16" spans="1:36" x14ac:dyDescent="0.3">
      <c r="E16" t="s">
        <v>17</v>
      </c>
      <c r="F16">
        <v>80</v>
      </c>
      <c r="G16" s="11">
        <f>((F13-G13)*$C$10)/($C$11*$C$4)</f>
        <v>80.000000000000114</v>
      </c>
      <c r="H16">
        <f t="shared" ref="H16:AI16" si="2">((G13-H13)*$C$10)/($C$11*$C$4)</f>
        <v>79.196209052340308</v>
      </c>
      <c r="I16">
        <f t="shared" si="2"/>
        <v>78.394710188922261</v>
      </c>
      <c r="J16">
        <f t="shared" si="2"/>
        <v>77.597734545614443</v>
      </c>
      <c r="K16">
        <f t="shared" si="2"/>
        <v>76.807608722199674</v>
      </c>
      <c r="L16">
        <f t="shared" si="2"/>
        <v>76.026479009080916</v>
      </c>
      <c r="M16">
        <f t="shared" si="2"/>
        <v>75.256677873397805</v>
      </c>
      <c r="N16">
        <f t="shared" si="2"/>
        <v>74.500245607039446</v>
      </c>
      <c r="O16">
        <f t="shared" si="2"/>
        <v>73.759490108908778</v>
      </c>
      <c r="P16">
        <f t="shared" si="2"/>
        <v>73.036327359985307</v>
      </c>
      <c r="Q16">
        <f t="shared" si="2"/>
        <v>72.333008993910695</v>
      </c>
      <c r="R16">
        <f t="shared" si="2"/>
        <v>71.651311199355789</v>
      </c>
      <c r="S16">
        <f t="shared" si="2"/>
        <v>70.993396996102319</v>
      </c>
      <c r="T16">
        <f t="shared" si="2"/>
        <v>70.360890024073825</v>
      </c>
      <c r="U16">
        <f t="shared" si="2"/>
        <v>69.755832364507185</v>
      </c>
      <c r="V16">
        <f t="shared" si="2"/>
        <v>69.17968488864507</v>
      </c>
      <c r="W16">
        <f t="shared" si="2"/>
        <v>68.634337157929721</v>
      </c>
      <c r="X16">
        <f t="shared" si="2"/>
        <v>68.12107933774783</v>
      </c>
      <c r="Y16">
        <f t="shared" si="2"/>
        <v>67.641618371362739</v>
      </c>
      <c r="Z16">
        <f t="shared" si="2"/>
        <v>67.19706776448497</v>
      </c>
      <c r="AA16">
        <f t="shared" si="2"/>
        <v>66.788923960379847</v>
      </c>
      <c r="AB16">
        <f t="shared" si="2"/>
        <v>66.418119510509158</v>
      </c>
      <c r="AC16">
        <f t="shared" si="2"/>
        <v>66.085915394814677</v>
      </c>
      <c r="AD16">
        <f t="shared" si="2"/>
        <v>65.793060247755776</v>
      </c>
      <c r="AE16">
        <f t="shared" si="2"/>
        <v>65.540558185864683</v>
      </c>
      <c r="AF16">
        <f t="shared" si="2"/>
        <v>65.328971985608618</v>
      </c>
      <c r="AG16">
        <f t="shared" si="2"/>
        <v>65.159031627196072</v>
      </c>
      <c r="AH16">
        <f t="shared" si="2"/>
        <v>65.031112836223883</v>
      </c>
      <c r="AI16">
        <f t="shared" si="2"/>
        <v>64.945658772996794</v>
      </c>
    </row>
  </sheetData>
  <conditionalFormatting sqref="F13:AJ13">
    <cfRule type="colorScale" priority="1">
      <colorScale>
        <cfvo type="min"/>
        <cfvo type="percentile" val="50"/>
        <cfvo type="max"/>
        <color theme="4" tint="-0.249977111117893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BC1st</vt:lpstr>
      <vt:lpstr>BC2nd</vt:lpstr>
      <vt:lpstr>BC3rd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ansys</dc:creator>
  <cp:lastModifiedBy>ansys</cp:lastModifiedBy>
  <dcterms:created xsi:type="dcterms:W3CDTF">2015-06-05T18:17:20Z</dcterms:created>
  <dcterms:modified xsi:type="dcterms:W3CDTF">2021-03-10T06:48:14Z</dcterms:modified>
</cp:coreProperties>
</file>